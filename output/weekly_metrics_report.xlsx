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color rgb="008A94A6"/>
      <sz val="9"/>
    </font>
    <font>
      <b val="1"/>
      <color rgb="0014B8A6"/>
      <sz val="11"/>
    </font>
    <font>
      <b val="1"/>
      <sz val="10"/>
    </font>
    <font>
      <b val="1"/>
      <color rgb="001F3864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AF7F5"/>
      </patternFill>
    </fill>
    <fill>
      <patternFill patternType="solid">
        <fgColor rgb="001F3864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pivotButton="0" quotePrefix="0" xfId="0"/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주간 조회수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'주간리포트'!C11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'주간리포트'!$A$12:$A$19</f>
            </numRef>
          </cat>
          <val>
            <numRef>
              <f>'주간리포트'!$C$12:$C$19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조회수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주간 콘텐츠 성과 리포트</t>
        </is>
      </c>
    </row>
    <row r="2">
      <c r="A2" s="2" t="inlineStr">
        <is>
          <t>자동 생성 · 2026-08-23 · 원본 weekly_metrics.csv</t>
        </is>
      </c>
    </row>
    <row r="4">
      <c r="A4" s="3" t="inlineStr">
        <is>
          <t>요약</t>
        </is>
      </c>
    </row>
    <row r="5">
      <c r="A5" s="4" t="inlineStr">
        <is>
          <t>총 조회수</t>
        </is>
      </c>
      <c r="B5" s="5">
        <f>SUM(C12:C19)</f>
        <v/>
      </c>
    </row>
    <row r="6">
      <c r="A6" s="4" t="inlineStr">
        <is>
          <t>평균 주간 조회수</t>
        </is>
      </c>
      <c r="B6" s="5">
        <f>ROUND(AVERAGE(C12:C19),0)</f>
        <v/>
      </c>
    </row>
    <row r="7">
      <c r="A7" s="4" t="inlineStr">
        <is>
          <t>총 팔로워 증가</t>
        </is>
      </c>
      <c r="B7" s="5">
        <f>SUM(E12:E19)</f>
        <v/>
      </c>
    </row>
    <row r="8">
      <c r="A8" s="4" t="inlineStr">
        <is>
          <t>최고 조회 주</t>
        </is>
      </c>
      <c r="B8" s="5">
        <f>INDEX(A12:A19,MATCH(MAX(C12:C19),C12:C19,0))</f>
        <v/>
      </c>
    </row>
    <row r="9">
      <c r="A9" s="3" t="inlineStr">
        <is>
          <t>주간 상세</t>
        </is>
      </c>
    </row>
    <row r="11">
      <c r="A11" s="6" t="inlineStr">
        <is>
          <t>week</t>
        </is>
      </c>
      <c r="B11" s="6" t="inlineStr">
        <is>
          <t>posts</t>
        </is>
      </c>
      <c r="C11" s="6" t="inlineStr">
        <is>
          <t>views</t>
        </is>
      </c>
      <c r="D11" s="6" t="inlineStr">
        <is>
          <t>likes</t>
        </is>
      </c>
      <c r="E11" s="6" t="inlineStr">
        <is>
          <t>followers_delta</t>
        </is>
      </c>
    </row>
    <row r="12">
      <c r="A12" s="7" t="inlineStr">
        <is>
          <t>W1</t>
        </is>
      </c>
      <c r="B12" s="8" t="n">
        <v>3</v>
      </c>
      <c r="C12" s="8" t="n">
        <v>1200</v>
      </c>
      <c r="D12" s="8" t="n">
        <v>180</v>
      </c>
      <c r="E12" s="9" t="n">
        <v>12</v>
      </c>
    </row>
    <row r="13">
      <c r="A13" s="10" t="inlineStr">
        <is>
          <t>W2</t>
        </is>
      </c>
      <c r="B13" s="11" t="n">
        <v>4</v>
      </c>
      <c r="C13" s="11" t="n">
        <v>2100</v>
      </c>
      <c r="D13" s="11" t="n">
        <v>320</v>
      </c>
      <c r="E13" s="12" t="n">
        <v>25</v>
      </c>
    </row>
    <row r="14">
      <c r="A14" s="7" t="inlineStr">
        <is>
          <t>W3</t>
        </is>
      </c>
      <c r="B14" s="8" t="n">
        <v>3</v>
      </c>
      <c r="C14" s="8" t="n">
        <v>1850</v>
      </c>
      <c r="D14" s="8" t="n">
        <v>290</v>
      </c>
      <c r="E14" s="9" t="n">
        <v>18</v>
      </c>
    </row>
    <row r="15">
      <c r="A15" s="10" t="inlineStr">
        <is>
          <t>W4</t>
        </is>
      </c>
      <c r="B15" s="11" t="n">
        <v>5</v>
      </c>
      <c r="C15" s="11" t="n">
        <v>3400</v>
      </c>
      <c r="D15" s="11" t="n">
        <v>510</v>
      </c>
      <c r="E15" s="12" t="n">
        <v>45</v>
      </c>
    </row>
    <row r="16">
      <c r="A16" s="7" t="inlineStr">
        <is>
          <t>W5</t>
        </is>
      </c>
      <c r="B16" s="8" t="n">
        <v>4</v>
      </c>
      <c r="C16" s="8" t="n">
        <v>2600</v>
      </c>
      <c r="D16" s="8" t="n">
        <v>400</v>
      </c>
      <c r="E16" s="9" t="n">
        <v>30</v>
      </c>
    </row>
    <row r="17">
      <c r="A17" s="10" t="inlineStr">
        <is>
          <t>W6</t>
        </is>
      </c>
      <c r="B17" s="11" t="n">
        <v>3</v>
      </c>
      <c r="C17" s="11" t="n">
        <v>1900</v>
      </c>
      <c r="D17" s="11" t="n">
        <v>280</v>
      </c>
      <c r="E17" s="12" t="n">
        <v>15</v>
      </c>
    </row>
    <row r="18">
      <c r="A18" s="7" t="inlineStr">
        <is>
          <t>W7</t>
        </is>
      </c>
      <c r="B18" s="8" t="n">
        <v>5</v>
      </c>
      <c r="C18" s="8" t="n">
        <v>4100</v>
      </c>
      <c r="D18" s="8" t="n">
        <v>620</v>
      </c>
      <c r="E18" s="9" t="n">
        <v>58</v>
      </c>
    </row>
    <row r="19">
      <c r="A19" s="10" t="inlineStr">
        <is>
          <t>W8</t>
        </is>
      </c>
      <c r="B19" s="11" t="n">
        <v>6</v>
      </c>
      <c r="C19" s="11" t="n">
        <v>5200</v>
      </c>
      <c r="D19" s="11" t="n">
        <v>780</v>
      </c>
      <c r="E19" s="12" t="n">
        <v>72</v>
      </c>
    </row>
  </sheetData>
  <mergeCells count="2">
    <mergeCell ref="A2:E2"/>
    <mergeCell ref="A1:E1"/>
  </mergeCells>
  <conditionalFormatting sqref="C12:C19">
    <cfRule type="colorScale" priority="1">
      <colorScale>
        <cfvo type="min"/>
        <cfvo type="percentile" val="50"/>
        <cfvo type="max"/>
        <color rgb="00FEE2E2"/>
        <color rgb="00FEF3C7"/>
        <color rgb="00D1FAE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2026-08-23T07:53:48Z</dcterms:created>
  <dcterms:modified xsi:type="dcterms:W3CDTF">2026-08-23T07:53:48Z</dcterms:modified>
</cp:coreProperties>
</file>